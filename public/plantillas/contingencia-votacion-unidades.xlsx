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_1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8.83203125" customWidth="1"/>
    <col min="2" max="2" width="38.83203125" customWidth="1"/>
    <col min="3" max="3" width="12.83203125" customWidth="1"/>
    <col min="4" max="4" width="20.83203125" customWidth="1"/>
    <col min="5" max="5" width="28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Contingencia — Votación por coeficiente (copropiedad)</v>
      </c>
    </row>
    <row r="3">
      <c r="A3" t="str">
        <v>Suma coeficiente censo</v>
      </c>
      <c r="B3">
        <f>SUM(C15:C46)</f>
      </c>
    </row>
    <row r="4">
      <c r="A4" t="str">
        <v>Coeficiente presente (asistentes)</v>
      </c>
      <c r="B4">
        <f>SUMPRODUCT(C15:C46,D15:D46)</f>
      </c>
    </row>
    <row r="5">
      <c r="A5" t="str">
        <v>% censo con asistencia (peso)</v>
      </c>
      <c r="B5">
        <f>IF(B3&gt;0,B4/B3,0)</f>
      </c>
    </row>
    <row r="6">
      <c r="A6" t="str">
        <v>Coeficiente a favor (P1)</v>
      </c>
      <c r="B6">
        <f>SUM(F15:F46)</f>
      </c>
    </row>
    <row r="7">
      <c r="A7" t="str">
        <v>Coeficiente en contra (P1)</v>
      </c>
      <c r="B7">
        <f>SUM(G15:G46)</f>
      </c>
    </row>
    <row r="8">
      <c r="A8" t="str">
        <v>Coeficiente abstención (P1)</v>
      </c>
      <c r="B8">
        <f>SUM(H15:H46)</f>
      </c>
    </row>
    <row r="9">
      <c r="A9" t="str">
        <v>Coef. votantes P1 (Sí+No+Abst.)</v>
      </c>
      <c r="B9">
        <f>B6+B7+B8</f>
      </c>
    </row>
    <row r="10">
      <c r="A10" t="str">
        <v>Nota: ajuste el umbral de quórum según manual de convivencia / ley.</v>
      </c>
    </row>
    <row r="14">
      <c r="A14" t="str">
        <v>Número</v>
      </c>
      <c r="B14" t="str">
        <v>Propietario</v>
      </c>
      <c r="C14" t="str">
        <v>Coeficiente</v>
      </c>
      <c r="D14" t="str">
        <v>Asiste (1=sí,0=no)</v>
      </c>
      <c r="E14" t="str">
        <v>Voto P1: Sí / No / Abstención</v>
      </c>
      <c r="F14" t="str">
        <v>Coef. a favor</v>
      </c>
      <c r="G14" t="str">
        <v>Coef. en contra</v>
      </c>
      <c r="H14" t="str">
        <v>Coef. abstención</v>
      </c>
    </row>
    <row r="15">
      <c r="A15">
        <v>101</v>
      </c>
      <c r="B15" t="str">
        <v>BALLEN FLOR</v>
      </c>
      <c r="C15">
        <v>2.908</v>
      </c>
      <c r="D15">
        <v/>
      </c>
      <c r="E15" t="str">
        <v/>
      </c>
      <c r="F15">
        <f>IF(AND(D15=1,E15="Sí"),C15,0)</f>
      </c>
      <c r="G15">
        <f>IF(AND(D15=1,E15="No"),C15,0)</f>
      </c>
      <c r="H15">
        <f>IF(AND(D15=1,E15="Abstención"),C15,0)</f>
      </c>
    </row>
    <row r="16">
      <c r="A16">
        <v>102</v>
      </c>
      <c r="B16" t="str">
        <v>BERMUDEZ ALIDA</v>
      </c>
      <c r="C16">
        <v>2.776</v>
      </c>
      <c r="D16">
        <v/>
      </c>
      <c r="E16" t="str">
        <v/>
      </c>
      <c r="F16">
        <f>IF(AND(D16=1,E16="Sí"),C16,0)</f>
      </c>
      <c r="G16">
        <f>IF(AND(D16=1,E16="No"),C16,0)</f>
      </c>
      <c r="H16">
        <f>IF(AND(D16=1,E16="Abstención"),C16,0)</f>
      </c>
    </row>
    <row r="17">
      <c r="A17">
        <v>201</v>
      </c>
      <c r="B17" t="str">
        <v>CORREDOR ANA FLOR</v>
      </c>
      <c r="C17">
        <v>3.17</v>
      </c>
      <c r="D17">
        <v/>
      </c>
      <c r="E17" t="str">
        <v/>
      </c>
      <c r="F17">
        <f>IF(AND(D17=1,E17="Sí"),C17,0)</f>
      </c>
      <c r="G17">
        <f>IF(AND(D17=1,E17="No"),C17,0)</f>
      </c>
      <c r="H17">
        <f>IF(AND(D17=1,E17="Abstención"),C17,0)</f>
      </c>
    </row>
    <row r="18">
      <c r="A18">
        <v>202</v>
      </c>
      <c r="B18" t="str">
        <v>MONTENEGRO BIDU</v>
      </c>
      <c r="C18">
        <v>3.11</v>
      </c>
      <c r="D18">
        <v/>
      </c>
      <c r="E18" t="str">
        <v/>
      </c>
      <c r="F18">
        <f>IF(AND(D18=1,E18="Sí"),C18,0)</f>
      </c>
      <c r="G18">
        <f>IF(AND(D18=1,E18="No"),C18,0)</f>
      </c>
      <c r="H18">
        <f>IF(AND(D18=1,E18="Abstención"),C18,0)</f>
      </c>
    </row>
    <row r="19">
      <c r="A19">
        <v>203</v>
      </c>
      <c r="B19" t="str">
        <v>PEDRO LUIS JIMENEZ SOLER</v>
      </c>
      <c r="C19">
        <v>2.921</v>
      </c>
      <c r="D19">
        <v/>
      </c>
      <c r="E19" t="str">
        <v/>
      </c>
      <c r="F19">
        <f>IF(AND(D19=1,E19="Sí"),C19,0)</f>
      </c>
      <c r="G19">
        <f>IF(AND(D19=1,E19="No"),C19,0)</f>
      </c>
      <c r="H19">
        <f>IF(AND(D19=1,E19="Abstención"),C19,0)</f>
      </c>
    </row>
    <row r="20">
      <c r="A20">
        <v>204</v>
      </c>
      <c r="B20" t="str">
        <v>GRUESO GONZALEZ NATALI</v>
      </c>
      <c r="C20">
        <v>3.342</v>
      </c>
      <c r="D20">
        <v/>
      </c>
      <c r="E20" t="str">
        <v/>
      </c>
      <c r="F20">
        <f>IF(AND(D20=1,E20="Sí"),C20,0)</f>
      </c>
      <c r="G20">
        <f>IF(AND(D20=1,E20="No"),C20,0)</f>
      </c>
      <c r="H20">
        <f>IF(AND(D20=1,E20="Abstención"),C20,0)</f>
      </c>
    </row>
    <row r="21">
      <c r="A21">
        <v>205</v>
      </c>
      <c r="B21" t="str">
        <v>MAHECHA MARIA NURY</v>
      </c>
      <c r="C21">
        <v>3.216</v>
      </c>
      <c r="D21">
        <v/>
      </c>
      <c r="E21" t="str">
        <v/>
      </c>
      <c r="F21">
        <f>IF(AND(D21=1,E21="Sí"),C21,0)</f>
      </c>
      <c r="G21">
        <f>IF(AND(D21=1,E21="No"),C21,0)</f>
      </c>
      <c r="H21">
        <f>IF(AND(D21=1,E21="Abstención"),C21,0)</f>
      </c>
    </row>
    <row r="22">
      <c r="A22">
        <v>301</v>
      </c>
      <c r="B22" t="str">
        <v>MANCILLA RICO EDNA IBETH</v>
      </c>
      <c r="C22">
        <v>3.17</v>
      </c>
      <c r="D22">
        <v/>
      </c>
      <c r="E22" t="str">
        <v/>
      </c>
      <c r="F22">
        <f>IF(AND(D22=1,E22="Sí"),C22,0)</f>
      </c>
      <c r="G22">
        <f>IF(AND(D22=1,E22="No"),C22,0)</f>
      </c>
      <c r="H22">
        <f>IF(AND(D22=1,E22="Abstención"),C22,0)</f>
      </c>
    </row>
    <row r="23">
      <c r="A23">
        <v>302</v>
      </c>
      <c r="B23" t="str">
        <v>ZULLY ANDREA VARGAS</v>
      </c>
      <c r="C23">
        <v>3.12</v>
      </c>
      <c r="D23">
        <v/>
      </c>
      <c r="E23" t="str">
        <v/>
      </c>
      <c r="F23">
        <f>IF(AND(D23=1,E23="Sí"),C23,0)</f>
      </c>
      <c r="G23">
        <f>IF(AND(D23=1,E23="No"),C23,0)</f>
      </c>
      <c r="H23">
        <f>IF(AND(D23=1,E23="Abstención"),C23,0)</f>
      </c>
    </row>
    <row r="24">
      <c r="A24">
        <v>303</v>
      </c>
      <c r="B24" t="str">
        <v>DE CARVAJAL CAMILA</v>
      </c>
      <c r="C24">
        <v>2.887</v>
      </c>
      <c r="D24">
        <v/>
      </c>
      <c r="E24" t="str">
        <v/>
      </c>
      <c r="F24">
        <f>IF(AND(D24=1,E24="Sí"),C24,0)</f>
      </c>
      <c r="G24">
        <f>IF(AND(D24=1,E24="No"),C24,0)</f>
      </c>
      <c r="H24">
        <f>IF(AND(D24=1,E24="Abstención"),C24,0)</f>
      </c>
    </row>
    <row r="25">
      <c r="A25">
        <v>304</v>
      </c>
      <c r="B25" t="str">
        <v>GARCIA MARIA IVONNE</v>
      </c>
      <c r="C25">
        <v>3.381</v>
      </c>
      <c r="D25">
        <v/>
      </c>
      <c r="E25" t="str">
        <v/>
      </c>
      <c r="F25">
        <f>IF(AND(D25=1,E25="Sí"),C25,0)</f>
      </c>
      <c r="G25">
        <f>IF(AND(D25=1,E25="No"),C25,0)</f>
      </c>
      <c r="H25">
        <f>IF(AND(D25=1,E25="Abstención"),C25,0)</f>
      </c>
    </row>
    <row r="26">
      <c r="A26">
        <v>305</v>
      </c>
      <c r="B26" t="str">
        <v>MUÑOZ JUAN CAMILO</v>
      </c>
      <c r="C26">
        <v>3.213</v>
      </c>
      <c r="D26">
        <v/>
      </c>
      <c r="E26" t="str">
        <v/>
      </c>
      <c r="F26">
        <f>IF(AND(D26=1,E26="Sí"),C26,0)</f>
      </c>
      <c r="G26">
        <f>IF(AND(D26=1,E26="No"),C26,0)</f>
      </c>
      <c r="H26">
        <f>IF(AND(D26=1,E26="Abstención"),C26,0)</f>
      </c>
    </row>
    <row r="27">
      <c r="A27">
        <v>401</v>
      </c>
      <c r="B27" t="str">
        <v>ALFONSO AURA ALICIA</v>
      </c>
      <c r="C27">
        <v>3.163</v>
      </c>
      <c r="D27">
        <v/>
      </c>
      <c r="E27" t="str">
        <v/>
      </c>
      <c r="F27">
        <f>IF(AND(D27=1,E27="Sí"),C27,0)</f>
      </c>
      <c r="G27">
        <f>IF(AND(D27=1,E27="No"),C27,0)</f>
      </c>
      <c r="H27">
        <f>IF(AND(D27=1,E27="Abstención"),C27,0)</f>
      </c>
    </row>
    <row r="28">
      <c r="A28">
        <v>402</v>
      </c>
      <c r="B28" t="str">
        <v>BERNAL ANA CLELIA</v>
      </c>
      <c r="C28">
        <v>3.193</v>
      </c>
      <c r="D28">
        <v/>
      </c>
      <c r="E28" t="str">
        <v/>
      </c>
      <c r="F28">
        <f>IF(AND(D28=1,E28="Sí"),C28,0)</f>
      </c>
      <c r="G28">
        <f>IF(AND(D28=1,E28="No"),C28,0)</f>
      </c>
      <c r="H28">
        <f>IF(AND(D28=1,E28="Abstención"),C28,0)</f>
      </c>
    </row>
    <row r="29">
      <c r="A29">
        <v>403</v>
      </c>
      <c r="B29" t="str">
        <v>ARCOS CRISTIAN CAMILO</v>
      </c>
      <c r="C29">
        <v>2.851</v>
      </c>
      <c r="D29">
        <v/>
      </c>
      <c r="E29" t="str">
        <v/>
      </c>
      <c r="F29">
        <f>IF(AND(D29=1,E29="Sí"),C29,0)</f>
      </c>
      <c r="G29">
        <f>IF(AND(D29=1,E29="No"),C29,0)</f>
      </c>
      <c r="H29">
        <f>IF(AND(D29=1,E29="Abstención"),C29,0)</f>
      </c>
    </row>
    <row r="30">
      <c r="A30">
        <v>404</v>
      </c>
      <c r="B30" t="str">
        <v>MADERO TRIVIÑO CLARA INES</v>
      </c>
      <c r="C30">
        <v>3.344</v>
      </c>
      <c r="D30">
        <v/>
      </c>
      <c r="E30" t="str">
        <v/>
      </c>
      <c r="F30">
        <f>IF(AND(D30=1,E30="Sí"),C30,0)</f>
      </c>
      <c r="G30">
        <f>IF(AND(D30=1,E30="No"),C30,0)</f>
      </c>
      <c r="H30">
        <f>IF(AND(D30=1,E30="Abstención"),C30,0)</f>
      </c>
    </row>
    <row r="31">
      <c r="A31">
        <v>405</v>
      </c>
      <c r="B31" t="str">
        <v>RUBIO GONZALO</v>
      </c>
      <c r="C31">
        <v>3.178</v>
      </c>
      <c r="D31">
        <v/>
      </c>
      <c r="E31" t="str">
        <v/>
      </c>
      <c r="F31">
        <f>IF(AND(D31=1,E31="Sí"),C31,0)</f>
      </c>
      <c r="G31">
        <f>IF(AND(D31=1,E31="No"),C31,0)</f>
      </c>
      <c r="H31">
        <f>IF(AND(D31=1,E31="Abstención"),C31,0)</f>
      </c>
    </row>
    <row r="32">
      <c r="A32">
        <v>501</v>
      </c>
      <c r="B32" t="str">
        <v>CAÑON DE RANGEL FABIOLA</v>
      </c>
      <c r="C32">
        <v>3.168</v>
      </c>
      <c r="D32">
        <v/>
      </c>
      <c r="E32" t="str">
        <v/>
      </c>
      <c r="F32">
        <f>IF(AND(D32=1,E32="Sí"),C32,0)</f>
      </c>
      <c r="G32">
        <f>IF(AND(D32=1,E32="No"),C32,0)</f>
      </c>
      <c r="H32">
        <f>IF(AND(D32=1,E32="Abstención"),C32,0)</f>
      </c>
    </row>
    <row r="33">
      <c r="A33">
        <v>502</v>
      </c>
      <c r="B33" t="str">
        <v>LA ROTTA MONROY CESAR DAVID</v>
      </c>
      <c r="C33">
        <v>3.19</v>
      </c>
      <c r="D33">
        <v/>
      </c>
      <c r="E33" t="str">
        <v/>
      </c>
      <c r="F33">
        <f>IF(AND(D33=1,E33="Sí"),C33,0)</f>
      </c>
      <c r="G33">
        <f>IF(AND(D33=1,E33="No"),C33,0)</f>
      </c>
      <c r="H33">
        <f>IF(AND(D33=1,E33="Abstención"),C33,0)</f>
      </c>
    </row>
    <row r="34">
      <c r="A34">
        <v>503</v>
      </c>
      <c r="B34" t="str">
        <v>HERNANDEZ JESUS</v>
      </c>
      <c r="C34">
        <v>2.854</v>
      </c>
      <c r="D34">
        <v/>
      </c>
      <c r="E34" t="str">
        <v/>
      </c>
      <c r="F34">
        <f>IF(AND(D34=1,E34="Sí"),C34,0)</f>
      </c>
      <c r="G34">
        <f>IF(AND(D34=1,E34="No"),C34,0)</f>
      </c>
      <c r="H34">
        <f>IF(AND(D34=1,E34="Abstención"),C34,0)</f>
      </c>
    </row>
    <row r="35">
      <c r="A35">
        <v>504</v>
      </c>
      <c r="B35" t="str">
        <v>AMAYA NATALY</v>
      </c>
      <c r="C35">
        <v>3.334</v>
      </c>
      <c r="D35">
        <v/>
      </c>
      <c r="E35" t="str">
        <v/>
      </c>
      <c r="F35">
        <f>IF(AND(D35=1,E35="Sí"),C35,0)</f>
      </c>
      <c r="G35">
        <f>IF(AND(D35=1,E35="No"),C35,0)</f>
      </c>
      <c r="H35">
        <f>IF(AND(D35=1,E35="Abstención"),C35,0)</f>
      </c>
    </row>
    <row r="36">
      <c r="A36">
        <v>505</v>
      </c>
      <c r="B36" t="str">
        <v>ACUÑA PEREZ MARTHA</v>
      </c>
      <c r="C36">
        <v>3.166</v>
      </c>
      <c r="D36">
        <v/>
      </c>
      <c r="E36" t="str">
        <v/>
      </c>
      <c r="F36">
        <f>IF(AND(D36=1,E36="Sí"),C36,0)</f>
      </c>
      <c r="G36">
        <f>IF(AND(D36=1,E36="No"),C36,0)</f>
      </c>
      <c r="H36">
        <f>IF(AND(D36=1,E36="Abstención"),C36,0)</f>
      </c>
    </row>
    <row r="37">
      <c r="A37">
        <v>601</v>
      </c>
      <c r="B37" t="str">
        <v>DIANA ESPERANZA JIMENEZ POVEDA</v>
      </c>
      <c r="C37">
        <v>3.17</v>
      </c>
      <c r="D37">
        <v/>
      </c>
      <c r="E37" t="str">
        <v/>
      </c>
      <c r="F37">
        <f>IF(AND(D37=1,E37="Sí"),C37,0)</f>
      </c>
      <c r="G37">
        <f>IF(AND(D37=1,E37="No"),C37,0)</f>
      </c>
      <c r="H37">
        <f>IF(AND(D37=1,E37="Abstención"),C37,0)</f>
      </c>
    </row>
    <row r="38">
      <c r="A38">
        <v>602</v>
      </c>
      <c r="B38" t="str">
        <v>SABOGAL RAUL</v>
      </c>
      <c r="C38">
        <v>3.127</v>
      </c>
      <c r="D38">
        <v/>
      </c>
      <c r="E38" t="str">
        <v/>
      </c>
      <c r="F38">
        <f>IF(AND(D38=1,E38="Sí"),C38,0)</f>
      </c>
      <c r="G38">
        <f>IF(AND(D38=1,E38="No"),C38,0)</f>
      </c>
      <c r="H38">
        <f>IF(AND(D38=1,E38="Abstención"),C38,0)</f>
      </c>
    </row>
    <row r="39">
      <c r="A39">
        <v>603</v>
      </c>
      <c r="B39" t="str">
        <v>SEGURA GERMAN</v>
      </c>
      <c r="C39">
        <v>2.862</v>
      </c>
      <c r="D39">
        <v/>
      </c>
      <c r="E39" t="str">
        <v/>
      </c>
      <c r="F39">
        <f>IF(AND(D39=1,E39="Sí"),C39,0)</f>
      </c>
      <c r="G39">
        <f>IF(AND(D39=1,E39="No"),C39,0)</f>
      </c>
      <c r="H39">
        <f>IF(AND(D39=1,E39="Abstención"),C39,0)</f>
      </c>
    </row>
    <row r="40">
      <c r="A40">
        <v>604</v>
      </c>
      <c r="B40" t="str">
        <v>ACUÑA DE MEDINA EDILMA</v>
      </c>
      <c r="C40">
        <v>3.341</v>
      </c>
      <c r="D40">
        <v/>
      </c>
      <c r="E40" t="str">
        <v/>
      </c>
      <c r="F40">
        <f>IF(AND(D40=1,E40="Sí"),C40,0)</f>
      </c>
      <c r="G40">
        <f>IF(AND(D40=1,E40="No"),C40,0)</f>
      </c>
      <c r="H40">
        <f>IF(AND(D40=1,E40="Abstención"),C40,0)</f>
      </c>
    </row>
    <row r="41">
      <c r="A41">
        <v>605</v>
      </c>
      <c r="B41" t="str">
        <v>MARCELA CASTILLO HERNANDEZ</v>
      </c>
      <c r="C41">
        <v>3.166</v>
      </c>
      <c r="D41">
        <v/>
      </c>
      <c r="E41" t="str">
        <v/>
      </c>
      <c r="F41">
        <f>IF(AND(D41=1,E41="Sí"),C41,0)</f>
      </c>
      <c r="G41">
        <f>IF(AND(D41=1,E41="No"),C41,0)</f>
      </c>
      <c r="H41">
        <f>IF(AND(D41=1,E41="Abstención"),C41,0)</f>
      </c>
    </row>
    <row r="42">
      <c r="A42">
        <v>701</v>
      </c>
      <c r="B42" t="str">
        <v>MOGOLLON AQUILINO</v>
      </c>
      <c r="C42">
        <v>3.17</v>
      </c>
      <c r="D42">
        <v/>
      </c>
      <c r="E42" t="str">
        <v/>
      </c>
      <c r="F42">
        <f>IF(AND(D42=1,E42="Sí"),C42,0)</f>
      </c>
      <c r="G42">
        <f>IF(AND(D42=1,E42="No"),C42,0)</f>
      </c>
      <c r="H42">
        <f>IF(AND(D42=1,E42="Abstención"),C42,0)</f>
      </c>
    </row>
    <row r="43">
      <c r="A43">
        <v>702</v>
      </c>
      <c r="B43" t="str">
        <v>VILLARRAGA MATEO</v>
      </c>
      <c r="C43">
        <v>3.123</v>
      </c>
      <c r="D43">
        <v/>
      </c>
      <c r="E43" t="str">
        <v/>
      </c>
      <c r="F43">
        <f>IF(AND(D43=1,E43="Sí"),C43,0)</f>
      </c>
      <c r="G43">
        <f>IF(AND(D43=1,E43="No"),C43,0)</f>
      </c>
      <c r="H43">
        <f>IF(AND(D43=1,E43="Abstención"),C43,0)</f>
      </c>
    </row>
    <row r="44">
      <c r="A44">
        <v>703</v>
      </c>
      <c r="B44" t="str">
        <v>RAMIREZ MARLEN</v>
      </c>
      <c r="C44">
        <v>2.847</v>
      </c>
      <c r="D44">
        <v/>
      </c>
      <c r="E44" t="str">
        <v/>
      </c>
      <c r="F44">
        <f>IF(AND(D44=1,E44="Sí"),C44,0)</f>
      </c>
      <c r="G44">
        <f>IF(AND(D44=1,E44="No"),C44,0)</f>
      </c>
      <c r="H44">
        <f>IF(AND(D44=1,E44="Abstención"),C44,0)</f>
      </c>
    </row>
    <row r="45">
      <c r="A45">
        <v>704</v>
      </c>
      <c r="B45" t="str">
        <v>SERRATO ZULUAGA MARTHA</v>
      </c>
      <c r="C45">
        <v>3.363</v>
      </c>
      <c r="D45">
        <v/>
      </c>
      <c r="E45" t="str">
        <v/>
      </c>
      <c r="F45">
        <f>IF(AND(D45=1,E45="Sí"),C45,0)</f>
      </c>
      <c r="G45">
        <f>IF(AND(D45=1,E45="No"),C45,0)</f>
      </c>
      <c r="H45">
        <f>IF(AND(D45=1,E45="Abstención"),C45,0)</f>
      </c>
    </row>
    <row r="46">
      <c r="A46">
        <v>705</v>
      </c>
      <c r="B46" t="str">
        <v>DIANA CAROLINA PACHECO FONSECA</v>
      </c>
      <c r="C46">
        <v>3.178</v>
      </c>
      <c r="D46">
        <v/>
      </c>
      <c r="E46" t="str">
        <v/>
      </c>
      <c r="F46">
        <f>IF(AND(D46=1,E46="Sí"),C46,0)</f>
      </c>
      <c r="G46">
        <f>IF(AND(D46=1,E46="No"),C46,0)</f>
      </c>
      <c r="H46">
        <f>IF(AND(D46=1,E46="Abstención"),C46,0)</f>
      </c>
    </row>
    <row r="48">
      <c r="A48" t="str">
        <v>TOTALES (comprobación)</v>
      </c>
      <c r="C48">
        <f>SUM(C15:C46)</f>
      </c>
      <c r="F48">
        <f>SUM(F15:F46)</f>
      </c>
      <c r="G48">
        <f>SUM(G15:G46)</f>
      </c>
      <c r="H48">
        <f>SUM(H15:H46)</f>
      </c>
    </row>
  </sheetData>
  <mergeCells count="1">
    <mergeCell ref="A1:H1"/>
  </mergeCells>
  <ignoredErrors>
    <ignoredError numberStoredAsText="1" sqref="A1:H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2.83203125" customWidth="1"/>
  </cols>
  <sheetData>
    <row r="1">
      <c r="A1" t="str">
        <v>CONTINGENCIA — Si no hay sistema digital, use esta plantilla.</v>
      </c>
    </row>
    <row r="2">
      <c r="A2" t="str">
        <v/>
      </c>
    </row>
    <row r="3">
      <c r="A3" t="str">
        <v>1) Columna D "Asiste": ponga 1 si el propietario (o quien lo representa en sala) está presente, 0 si no.</v>
      </c>
    </row>
    <row r="4">
      <c r="A4" t="str">
        <v>2) Columna E "Voto": escriba exactamente una de: Sí  |  No  |  Abstención   (con tilde en Sí). Si no asiste, deje vacío o no cuente el voto.</v>
      </c>
    </row>
    <row r="5">
      <c r="A5" t="str">
        <v>3) Las columnas F, G, H calculan el coeficiente a favor, en contra y en abstención solo si Asiste=1.</v>
      </c>
    </row>
    <row r="6">
      <c r="A6" t="str">
        <v>4) Arriba verá censo total, coeficiente presente y totales de la pregunta 1.</v>
      </c>
    </row>
    <row r="7">
      <c r="A7" t="str">
        <v>5) Para más preguntas: clic derecho en la pestaña "Pregunta_1" → Mover o copiar → Crear una copia. Renombre a Pregunta_2 y ajuste el texto de la columna E.</v>
      </c>
    </row>
    <row r="8">
      <c r="A8" t="str">
        <v>6) Verifique que la suma de la columna C coincide con el 100% del reglamento / acta de constitución.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Pregunta_1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